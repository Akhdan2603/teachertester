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Done" sheetId="1" r:id="rId5"/>
    <sheet state="visible" name="Not Created" sheetId="2" r:id="rId6"/>
    <sheet state="visible" name="Absen ga masuk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IFERROR(__xludf.DUMMYFUNCTION("IMPORTRANGE(""https://docs.google.com/spreadsheets/d/1APnqBBrLDhY6hcaMlHRpreHVuahS12sDoS_DFeM6Hfw/edit?usp=sharing"",""Sudah Buat Report!A:D"")"),"Teacher")</f>
        <v>Teacher</v>
      </c>
      <c r="B1" s="1" t="str">
        <f>IFERROR(__xludf.DUMMYFUNCTION("""COMPUTED_VALUE"""),"Student")</f>
        <v>Student</v>
      </c>
      <c r="C1" s="1" t="str">
        <f>IFERROR(__xludf.DUMMYFUNCTION("""COMPUTED_VALUE"""),"Materi")</f>
        <v>Materi</v>
      </c>
      <c r="D1" s="1" t="str">
        <f>IFERROR(__xludf.DUMMYFUNCTION("""COMPUTED_VALUE"""),"Checkpoint")</f>
        <v>Checkpoint</v>
      </c>
    </row>
    <row r="2">
      <c r="A2" s="1" t="str">
        <f>IFERROR(__xludf.DUMMYFUNCTION("""COMPUTED_VALUE"""),"Mr Akhdan")</f>
        <v>Mr Akhdan</v>
      </c>
      <c r="B2" s="1" t="str">
        <f>IFERROR(__xludf.DUMMYFUNCTION("""COMPUTED_VALUE"""),"Felix")</f>
        <v>Felix</v>
      </c>
      <c r="C2" s="1" t="str">
        <f>IFERROR(__xludf.DUMMYFUNCTION("""COMPUTED_VALUE"""),"3D ANIMATOR")</f>
        <v>3D ANIMATOR</v>
      </c>
      <c r="D2" s="1">
        <f>IFERROR(__xludf.DUMMYFUNCTION("""COMPUTED_VALUE"""),8.0)</f>
        <v>8</v>
      </c>
    </row>
    <row r="3">
      <c r="A3" s="1" t="str">
        <f>IFERROR(__xludf.DUMMYFUNCTION("""COMPUTED_VALUE"""),"Mr Akhdan")</f>
        <v>Mr Akhdan</v>
      </c>
      <c r="B3" s="1" t="str">
        <f>IFERROR(__xludf.DUMMYFUNCTION("""COMPUTED_VALUE"""),"Felix")</f>
        <v>Felix</v>
      </c>
      <c r="C3" s="1" t="str">
        <f>IFERROR(__xludf.DUMMYFUNCTION("""COMPUTED_VALUE"""),"3D ANIMATOR")</f>
        <v>3D ANIMATOR</v>
      </c>
      <c r="D3" s="1">
        <f>IFERROR(__xludf.DUMMYFUNCTION("""COMPUTED_VALUE"""),16.0)</f>
        <v>16</v>
      </c>
    </row>
    <row r="4">
      <c r="A4" s="1" t="str">
        <f>IFERROR(__xludf.DUMMYFUNCTION("""COMPUTED_VALUE"""),"Mr Akhdan")</f>
        <v>Mr Akhdan</v>
      </c>
      <c r="B4" s="1" t="str">
        <f>IFERROR(__xludf.DUMMYFUNCTION("""COMPUTED_VALUE"""),"Kennedy")</f>
        <v>Kennedy</v>
      </c>
      <c r="C4" s="1" t="str">
        <f>IFERROR(__xludf.DUMMYFUNCTION("""COMPUTED_VALUE"""),"Website Designer")</f>
        <v>Website Designer</v>
      </c>
      <c r="D4" s="1">
        <f>IFERROR(__xludf.DUMMYFUNCTION("""COMPUTED_VALUE"""),8.0)</f>
        <v>8</v>
      </c>
    </row>
    <row r="5">
      <c r="A5" s="1" t="str">
        <f>IFERROR(__xludf.DUMMYFUNCTION("""COMPUTED_VALUE"""),"Mr Akhdan")</f>
        <v>Mr Akhdan</v>
      </c>
      <c r="B5" s="1" t="str">
        <f>IFERROR(__xludf.DUMMYFUNCTION("""COMPUTED_VALUE"""),"Winston")</f>
        <v>Winston</v>
      </c>
      <c r="C5" s="1" t="str">
        <f>IFERROR(__xludf.DUMMYFUNCTION("""COMPUTED_VALUE"""),"Website Designer")</f>
        <v>Website Designer</v>
      </c>
      <c r="D5" s="1">
        <f>IFERROR(__xludf.DUMMYFUNCTION("""COMPUTED_VALUE"""),8.0)</f>
        <v>8</v>
      </c>
    </row>
    <row r="6">
      <c r="A6" s="1" t="str">
        <f>IFERROR(__xludf.DUMMYFUNCTION("""COMPUTED_VALUE"""),"Mr Akhdan")</f>
        <v>Mr Akhdan</v>
      </c>
      <c r="B6" s="1" t="str">
        <f>IFERROR(__xludf.DUMMYFUNCTION("""COMPUTED_VALUE"""),"Reina")</f>
        <v>Reina</v>
      </c>
      <c r="C6" s="1" t="str">
        <f>IFERROR(__xludf.DUMMYFUNCTION("""COMPUTED_VALUE"""),"Game Developer")</f>
        <v>Game Developer</v>
      </c>
      <c r="D6" s="1">
        <f>IFERROR(__xludf.DUMMYFUNCTION("""COMPUTED_VALUE"""),8.0)</f>
        <v>8</v>
      </c>
    </row>
    <row r="7">
      <c r="A7" s="1" t="str">
        <f>IFERROR(__xludf.DUMMYFUNCTION("""COMPUTED_VALUE"""),"Mr Akhdan")</f>
        <v>Mr Akhdan</v>
      </c>
      <c r="B7" s="1" t="str">
        <f>IFERROR(__xludf.DUMMYFUNCTION("""COMPUTED_VALUE"""),"William")</f>
        <v>William</v>
      </c>
      <c r="C7" s="1" t="str">
        <f>IFERROR(__xludf.DUMMYFUNCTION("""COMPUTED_VALUE"""),"Python Coder")</f>
        <v>Python Coder</v>
      </c>
      <c r="D7" s="1">
        <f>IFERROR(__xludf.DUMMYFUNCTION("""COMPUTED_VALUE"""),16.0)</f>
        <v>16</v>
      </c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/>
      <c r="B10" s="1"/>
      <c r="C10" s="1"/>
      <c r="D10" s="1"/>
    </row>
    <row r="11">
      <c r="A11" s="1"/>
      <c r="B11" s="1"/>
      <c r="C11" s="1"/>
      <c r="D11" s="1"/>
    </row>
    <row r="12">
      <c r="A12" s="1"/>
      <c r="B12" s="1"/>
      <c r="C12" s="1"/>
      <c r="D12" s="1"/>
    </row>
    <row r="13">
      <c r="A13" s="1"/>
      <c r="B13" s="1"/>
      <c r="C13" s="1"/>
      <c r="D13" s="1"/>
    </row>
    <row r="14">
      <c r="A14" s="1"/>
      <c r="B14" s="1"/>
      <c r="C14" s="1"/>
      <c r="D14" s="1"/>
    </row>
    <row r="15">
      <c r="A15" s="1"/>
      <c r="B15" s="1"/>
      <c r="C15" s="1"/>
      <c r="D15" s="1"/>
    </row>
    <row r="16">
      <c r="A16" s="1"/>
      <c r="B16" s="1"/>
      <c r="C16" s="1"/>
      <c r="D16" s="1"/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IFERROR(__xludf.DUMMYFUNCTION("IMPORTRANGE(""https://docs.google.com/spreadsheets/d/1APnqBBrLDhY6hcaMlHRpreHVuahS12sDoS_DFeM6Hfw/edit?usp=sharing"",""Belum Buat Report!A:D"")"),"Teacher")</f>
        <v>Teacher</v>
      </c>
      <c r="B1" s="1" t="str">
        <f>IFERROR(__xludf.DUMMYFUNCTION("""COMPUTED_VALUE"""),"Student")</f>
        <v>Student</v>
      </c>
      <c r="C1" s="1" t="str">
        <f>IFERROR(__xludf.DUMMYFUNCTION("""COMPUTED_VALUE"""),"Materi")</f>
        <v>Materi</v>
      </c>
      <c r="D1" s="1" t="str">
        <f>IFERROR(__xludf.DUMMYFUNCTION("""COMPUTED_VALUE"""),"Checkpoint")</f>
        <v>Checkpoint</v>
      </c>
    </row>
    <row r="2">
      <c r="A2" s="1" t="str">
        <f>IFERROR(__xludf.DUMMYFUNCTION("""COMPUTED_VALUE"""),"Mr Akhdan")</f>
        <v>Mr Akhdan</v>
      </c>
      <c r="B2" s="1" t="str">
        <f>IFERROR(__xludf.DUMMYFUNCTION("""COMPUTED_VALUE"""),"Winston")</f>
        <v>Winston</v>
      </c>
      <c r="C2" s="1" t="str">
        <f>IFERROR(__xludf.DUMMYFUNCTION("""COMPUTED_VALUE"""),"Website Designer")</f>
        <v>Website Designer</v>
      </c>
      <c r="D2" s="1">
        <f>IFERROR(__xludf.DUMMYFUNCTION("""COMPUTED_VALUE"""),16.0)</f>
        <v>16</v>
      </c>
    </row>
    <row r="3">
      <c r="A3" s="1" t="str">
        <f>IFERROR(__xludf.DUMMYFUNCTION("""COMPUTED_VALUE"""),"Mr Akhdan")</f>
        <v>Mr Akhdan</v>
      </c>
      <c r="B3" s="1" t="str">
        <f>IFERROR(__xludf.DUMMYFUNCTION("""COMPUTED_VALUE"""),"Takano")</f>
        <v>Takano</v>
      </c>
      <c r="C3" s="1" t="str">
        <f>IFERROR(__xludf.DUMMYFUNCTION("""COMPUTED_VALUE"""),"Code and Design with Roblox")</f>
        <v>Code and Design with Roblox</v>
      </c>
      <c r="D3" s="1">
        <f>IFERROR(__xludf.DUMMYFUNCTION("""COMPUTED_VALUE"""),16.0)</f>
        <v>16</v>
      </c>
    </row>
    <row r="4">
      <c r="A4" s="1" t="str">
        <f>IFERROR(__xludf.DUMMYFUNCTION("""COMPUTED_VALUE"""),"Mr Akhdan")</f>
        <v>Mr Akhdan</v>
      </c>
      <c r="B4" s="1" t="str">
        <f>IFERROR(__xludf.DUMMYFUNCTION("""COMPUTED_VALUE"""),"Faaqih")</f>
        <v>Faaqih</v>
      </c>
      <c r="C4" s="1" t="str">
        <f>IFERROR(__xludf.DUMMYFUNCTION("""COMPUTED_VALUE"""),"Python Coder")</f>
        <v>Python Coder</v>
      </c>
      <c r="D4" s="1">
        <f>IFERROR(__xludf.DUMMYFUNCTION("""COMPUTED_VALUE"""),8.0)</f>
        <v>8</v>
      </c>
    </row>
    <row r="5">
      <c r="A5" s="1" t="str">
        <f>IFERROR(__xludf.DUMMYFUNCTION("""COMPUTED_VALUE"""),"Mr Akhdan")</f>
        <v>Mr Akhdan</v>
      </c>
      <c r="B5" s="1" t="str">
        <f>IFERROR(__xludf.DUMMYFUNCTION("""COMPUTED_VALUE"""),"Raisya")</f>
        <v>Raisya</v>
      </c>
      <c r="C5" s="1" t="str">
        <f>IFERROR(__xludf.DUMMYFUNCTION("""COMPUTED_VALUE"""),"Python Game Developer")</f>
        <v>Python Game Developer</v>
      </c>
      <c r="D5" s="1">
        <f>IFERROR(__xludf.DUMMYFUNCTION("""COMPUTED_VALUE"""),8.0)</f>
        <v>8</v>
      </c>
    </row>
    <row r="6">
      <c r="A6" s="1" t="str">
        <f>IFERROR(__xludf.DUMMYFUNCTION("""COMPUTED_VALUE"""),"Mr Akhdan")</f>
        <v>Mr Akhdan</v>
      </c>
      <c r="B6" s="1" t="str">
        <f>IFERROR(__xludf.DUMMYFUNCTION("""COMPUTED_VALUE"""),"Mumtaz")</f>
        <v>Mumtaz</v>
      </c>
      <c r="C6" s="1" t="str">
        <f>IFERROR(__xludf.DUMMYFUNCTION("""COMPUTED_VALUE"""),"Coding Explorer")</f>
        <v>Coding Explorer</v>
      </c>
      <c r="D6" s="1">
        <f>IFERROR(__xludf.DUMMYFUNCTION("""COMPUTED_VALUE"""),24.0)</f>
        <v>24</v>
      </c>
    </row>
    <row r="7">
      <c r="A7" s="1" t="str">
        <f>IFERROR(__xludf.DUMMYFUNCTION("""COMPUTED_VALUE"""),"Mr Akhdan")</f>
        <v>Mr Akhdan</v>
      </c>
      <c r="B7" s="1" t="str">
        <f>IFERROR(__xludf.DUMMYFUNCTION("""COMPUTED_VALUE"""),"Qiana")</f>
        <v>Qiana</v>
      </c>
      <c r="C7" s="1" t="str">
        <f>IFERROR(__xludf.DUMMYFUNCTION("""COMPUTED_VALUE"""),"Code and Design with Roblox")</f>
        <v>Code and Design with Roblox</v>
      </c>
      <c r="D7" s="1">
        <f>IFERROR(__xludf.DUMMYFUNCTION("""COMPUTED_VALUE"""),16.0)</f>
        <v>16</v>
      </c>
    </row>
    <row r="8">
      <c r="A8" s="1" t="str">
        <f>IFERROR(__xludf.DUMMYFUNCTION("""COMPUTED_VALUE"""),"Mr Akhdan")</f>
        <v>Mr Akhdan</v>
      </c>
      <c r="B8" s="1" t="str">
        <f>IFERROR(__xludf.DUMMYFUNCTION("""COMPUTED_VALUE"""),"Rafardhan")</f>
        <v>Rafardhan</v>
      </c>
      <c r="C8" s="1" t="str">
        <f>IFERROR(__xludf.DUMMYFUNCTION("""COMPUTED_VALUE"""),"Coding Explorer")</f>
        <v>Coding Explorer</v>
      </c>
      <c r="D8" s="1">
        <f>IFERROR(__xludf.DUMMYFUNCTION("""COMPUTED_VALUE"""),8.0)</f>
        <v>8</v>
      </c>
    </row>
    <row r="9">
      <c r="A9" s="1" t="str">
        <f>IFERROR(__xludf.DUMMYFUNCTION("""COMPUTED_VALUE"""),"Harven Sannjaya")</f>
        <v>Harven Sannjaya</v>
      </c>
      <c r="B9" s="1" t="str">
        <f>IFERROR(__xludf.DUMMYFUNCTION("""COMPUTED_VALUE"""),"Hanief")</f>
        <v>Hanief</v>
      </c>
      <c r="C9" s="1" t="str">
        <f>IFERROR(__xludf.DUMMYFUNCTION("""COMPUTED_VALUE"""),"Python for AI")</f>
        <v>Python for AI</v>
      </c>
      <c r="D9" s="1">
        <f>IFERROR(__xludf.DUMMYFUNCTION("""COMPUTED_VALUE"""),8.0)</f>
        <v>8</v>
      </c>
    </row>
    <row r="10">
      <c r="A10" s="1" t="str">
        <f>IFERROR(__xludf.DUMMYFUNCTION("""COMPUTED_VALUE"""),"Harven Sannjaya")</f>
        <v>Harven Sannjaya</v>
      </c>
      <c r="B10" s="1" t="str">
        <f>IFERROR(__xludf.DUMMYFUNCTION("""COMPUTED_VALUE"""),"Ephraim")</f>
        <v>Ephraim</v>
      </c>
      <c r="C10" s="1" t="str">
        <f>IFERROR(__xludf.DUMMYFUNCTION("""COMPUTED_VALUE"""),"Full Stack Programming on Roblox")</f>
        <v>Full Stack Programming on Roblox</v>
      </c>
      <c r="D10" s="1">
        <f>IFERROR(__xludf.DUMMYFUNCTION("""COMPUTED_VALUE"""),24.0)</f>
        <v>24</v>
      </c>
    </row>
    <row r="11">
      <c r="A11" s="1" t="str">
        <f>IFERROR(__xludf.DUMMYFUNCTION("""COMPUTED_VALUE"""),"Harven Sannjaya")</f>
        <v>Harven Sannjaya</v>
      </c>
      <c r="B11" s="1" t="str">
        <f>IFERROR(__xludf.DUMMYFUNCTION("""COMPUTED_VALUE"""),"Gabriel")</f>
        <v>Gabriel</v>
      </c>
      <c r="C11" s="1" t="str">
        <f>IFERROR(__xludf.DUMMYFUNCTION("""COMPUTED_VALUE"""),"AI Computer Vision")</f>
        <v>AI Computer Vision</v>
      </c>
      <c r="D11" s="1">
        <f>IFERROR(__xludf.DUMMYFUNCTION("""COMPUTED_VALUE"""),8.0)</f>
        <v>8</v>
      </c>
    </row>
    <row r="12">
      <c r="A12" s="1" t="str">
        <f>IFERROR(__xludf.DUMMYFUNCTION("""COMPUTED_VALUE"""),"Harven Sannjaya")</f>
        <v>Harven Sannjaya</v>
      </c>
      <c r="B12" s="1" t="str">
        <f>IFERROR(__xludf.DUMMYFUNCTION("""COMPUTED_VALUE"""),"Giovanne")</f>
        <v>Giovanne</v>
      </c>
      <c r="C12" s="1" t="str">
        <f>IFERROR(__xludf.DUMMYFUNCTION("""COMPUTED_VALUE"""),"Full Stack Programming on Roblox")</f>
        <v>Full Stack Programming on Roblox</v>
      </c>
      <c r="D12" s="1">
        <f>IFERROR(__xludf.DUMMYFUNCTION("""COMPUTED_VALUE"""),8.0)</f>
        <v>8</v>
      </c>
    </row>
    <row r="13">
      <c r="A13" s="1" t="str">
        <f>IFERROR(__xludf.DUMMYFUNCTION("""COMPUTED_VALUE"""),"Yan")</f>
        <v>Yan</v>
      </c>
      <c r="B13" s="1"/>
      <c r="C13" s="1" t="str">
        <f>IFERROR(__xludf.DUMMYFUNCTION("""COMPUTED_VALUE"""),"Virtual World Maker")</f>
        <v>Virtual World Maker</v>
      </c>
      <c r="D13" s="1">
        <f>IFERROR(__xludf.DUMMYFUNCTION("""COMPUTED_VALUE"""),8.0)</f>
        <v>8</v>
      </c>
    </row>
    <row r="14">
      <c r="A14" s="1" t="str">
        <f>IFERROR(__xludf.DUMMYFUNCTION("""COMPUTED_VALUE"""),"Harven Sannjaya")</f>
        <v>Harven Sannjaya</v>
      </c>
      <c r="B14" s="1"/>
      <c r="C14" s="1" t="str">
        <f>IFERROR(__xludf.DUMMYFUNCTION("""COMPUTED_VALUE"""),"Virtual World Maker")</f>
        <v>Virtual World Maker</v>
      </c>
      <c r="D14" s="1">
        <f>IFERROR(__xludf.DUMMYFUNCTION("""COMPUTED_VALUE"""),16.0)</f>
        <v>16</v>
      </c>
    </row>
    <row r="15">
      <c r="A15" s="1" t="str">
        <f>IFERROR(__xludf.DUMMYFUNCTION("""COMPUTED_VALUE"""),"Fadli")</f>
        <v>Fadli</v>
      </c>
      <c r="B15" s="1"/>
      <c r="C15" s="1" t="str">
        <f>IFERROR(__xludf.DUMMYFUNCTION("""COMPUTED_VALUE"""),"Python Coder")</f>
        <v>Python Coder</v>
      </c>
      <c r="D15" s="1">
        <f>IFERROR(__xludf.DUMMYFUNCTION("""COMPUTED_VALUE"""),8.0)</f>
        <v>8</v>
      </c>
    </row>
    <row r="16">
      <c r="A16" s="1" t="str">
        <f>IFERROR(__xludf.DUMMYFUNCTION("""COMPUTED_VALUE"""),"Fadli")</f>
        <v>Fadli</v>
      </c>
      <c r="B16" s="1"/>
      <c r="C16" s="1" t="str">
        <f>IFERROR(__xludf.DUMMYFUNCTION("""COMPUTED_VALUE"""),"Python Coder")</f>
        <v>Python Coder</v>
      </c>
      <c r="D16" s="1">
        <f>IFERROR(__xludf.DUMMYFUNCTION("""COMPUTED_VALUE"""),16.0)</f>
        <v>16</v>
      </c>
    </row>
    <row r="17">
      <c r="A17" s="1"/>
      <c r="B17" s="1"/>
      <c r="C17" s="1"/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  <row r="20">
      <c r="A20" s="1"/>
      <c r="B20" s="1"/>
      <c r="C20" s="1"/>
      <c r="D20" s="1"/>
    </row>
    <row r="21">
      <c r="A21" s="1"/>
      <c r="B21" s="1"/>
      <c r="C21" s="1"/>
      <c r="D21" s="1"/>
    </row>
    <row r="22">
      <c r="A22" s="1"/>
      <c r="B22" s="1"/>
      <c r="C22" s="1"/>
      <c r="D22" s="1"/>
    </row>
    <row r="23">
      <c r="A23" s="1"/>
      <c r="B23" s="1"/>
      <c r="C23" s="1"/>
      <c r="D23" s="1"/>
    </row>
    <row r="24">
      <c r="A24" s="1"/>
      <c r="B24" s="1"/>
      <c r="C24" s="1"/>
      <c r="D24" s="1"/>
    </row>
    <row r="25">
      <c r="A25" s="1"/>
      <c r="B25" s="1"/>
      <c r="C25" s="1"/>
      <c r="D25" s="1"/>
    </row>
    <row r="26">
      <c r="A26" s="1"/>
      <c r="B26" s="1"/>
      <c r="C26" s="1"/>
      <c r="D26" s="1"/>
    </row>
    <row r="27">
      <c r="A27" s="1"/>
      <c r="B27" s="1"/>
      <c r="C27" s="1"/>
      <c r="D27" s="1"/>
    </row>
    <row r="28">
      <c r="A28" s="1"/>
      <c r="B28" s="1"/>
      <c r="C28" s="1"/>
      <c r="D28" s="1"/>
    </row>
    <row r="29">
      <c r="A29" s="1"/>
      <c r="B29" s="1"/>
      <c r="C29" s="1"/>
      <c r="D29" s="1"/>
    </row>
    <row r="30">
      <c r="A30" s="1"/>
      <c r="B30" s="1"/>
      <c r="C30" s="1"/>
      <c r="D30" s="1"/>
    </row>
    <row r="31">
      <c r="A31" s="1"/>
      <c r="B31" s="1"/>
      <c r="C31" s="1"/>
      <c r="D31" s="1"/>
    </row>
    <row r="32">
      <c r="A32" s="1"/>
      <c r="B32" s="1"/>
      <c r="C32" s="1"/>
      <c r="D32" s="1"/>
    </row>
    <row r="33">
      <c r="A33" s="1"/>
      <c r="B33" s="1"/>
      <c r="C33" s="1"/>
      <c r="D33" s="1"/>
    </row>
    <row r="34">
      <c r="A34" s="1"/>
      <c r="B34" s="1"/>
      <c r="C34" s="1"/>
      <c r="D34" s="1"/>
    </row>
    <row r="35">
      <c r="A35" s="1"/>
      <c r="B35" s="1"/>
      <c r="C35" s="1"/>
      <c r="D35" s="1"/>
    </row>
    <row r="36">
      <c r="A36" s="1"/>
      <c r="B36" s="1"/>
      <c r="C36" s="1"/>
      <c r="D36" s="1"/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>
      <c r="A39" s="1"/>
      <c r="B39" s="1"/>
      <c r="C39" s="1"/>
      <c r="D39" s="1"/>
    </row>
    <row r="40">
      <c r="A40" s="1"/>
      <c r="B40" s="1"/>
      <c r="C40" s="1"/>
      <c r="D40" s="1"/>
    </row>
    <row r="41">
      <c r="A41" s="1"/>
      <c r="B41" s="1"/>
      <c r="C41" s="1"/>
      <c r="D41" s="1"/>
    </row>
    <row r="42">
      <c r="A42" s="1"/>
      <c r="B42" s="1"/>
      <c r="C42" s="1"/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  <row r="999">
      <c r="A999" s="1"/>
      <c r="B999" s="1"/>
      <c r="C999" s="1"/>
      <c r="D999" s="1"/>
    </row>
    <row r="1000">
      <c r="A1000" s="1"/>
      <c r="B1000" s="1"/>
      <c r="C1000" s="1"/>
      <c r="D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IFERROR(__xludf.DUMMYFUNCTION("IMPORTRANGE(""https://docs.google.com/spreadsheets/d/1APnqBBrLDhY6hcaMlHRpreHVuahS12sDoS_DFeM6Hfw/edit?usp=sharing"",""Streak Tidak Hadir!A:Z"")"),"Teacher")</f>
        <v>Teacher</v>
      </c>
      <c r="B1" s="1" t="str">
        <f>IFERROR(__xludf.DUMMYFUNCTION("""COMPUTED_VALUE"""),"Kelas")</f>
        <v>Kelas</v>
      </c>
      <c r="C1" s="1" t="str">
        <f>IFERROR(__xludf.DUMMYFUNCTION("""COMPUTED_VALUE"""),"Student")</f>
        <v>Student</v>
      </c>
      <c r="D1" s="1" t="str">
        <f>IFERROR(__xludf.DUMMYFUNCTION("""COMPUTED_VALUE"""),"Absen 1")</f>
        <v>Absen 1</v>
      </c>
      <c r="E1" s="1" t="str">
        <f>IFERROR(__xludf.DUMMYFUNCTION("""COMPUTED_VALUE"""),"Absen 2")</f>
        <v>Absen 2</v>
      </c>
      <c r="F1" s="1" t="str">
        <f>IFERROR(__xludf.DUMMYFUNCTION("""COMPUTED_VALUE"""),"Absen 3")</f>
        <v>Absen 3</v>
      </c>
      <c r="G1" s="1" t="str">
        <f>IFERROR(__xludf.DUMMYFUNCTION("""COMPUTED_VALUE"""),"Absen 4")</f>
        <v>Absen 4</v>
      </c>
      <c r="H1" s="1" t="str">
        <f>IFERROR(__xludf.DUMMYFUNCTION("""COMPUTED_VALUE"""),"Absen 5")</f>
        <v>Absen 5</v>
      </c>
      <c r="I1" s="1" t="str">
        <f>IFERROR(__xludf.DUMMYFUNCTION("""COMPUTED_VALUE"""),"Absen 6")</f>
        <v>Absen 6</v>
      </c>
      <c r="J1" s="1" t="str">
        <f>IFERROR(__xludf.DUMMYFUNCTION("""COMPUTED_VALUE"""),"Absen 7")</f>
        <v>Absen 7</v>
      </c>
      <c r="K1" s="1" t="str">
        <f>IFERROR(__xludf.DUMMYFUNCTION("""COMPUTED_VALUE"""),"Absen 8")</f>
        <v>Absen 8</v>
      </c>
      <c r="L1" s="1" t="str">
        <f>IFERROR(__xludf.DUMMYFUNCTION("""COMPUTED_VALUE"""),"count")</f>
        <v>count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tr">
        <f>IFERROR(__xludf.DUMMYFUNCTION("""COMPUTED_VALUE"""),"Mr Akhdan")</f>
        <v>Mr Akhdan</v>
      </c>
      <c r="B2" s="1" t="str">
        <f>IFERROR(__xludf.DUMMYFUNCTION("""COMPUTED_VALUE"""),"K9E")</f>
        <v>K9E</v>
      </c>
      <c r="C2" s="1" t="str">
        <f>IFERROR(__xludf.DUMMYFUNCTION("""COMPUTED_VALUE"""),"Mikael Xie Ngadimin")</f>
        <v>Mikael Xie Ngadimin</v>
      </c>
      <c r="D2" s="2">
        <f>IFERROR(__xludf.DUMMYFUNCTION("""COMPUTED_VALUE"""),46238.58166510417)</f>
        <v>46238.58167</v>
      </c>
      <c r="E2" s="2">
        <f>IFERROR(__xludf.DUMMYFUNCTION("""COMPUTED_VALUE"""),46238.58177230324)</f>
        <v>46238.58177</v>
      </c>
      <c r="F2" s="2">
        <f>IFERROR(__xludf.DUMMYFUNCTION("""COMPUTED_VALUE"""),46238.58181600695)</f>
        <v>46238.58182</v>
      </c>
      <c r="G2" s="2">
        <f>IFERROR(__xludf.DUMMYFUNCTION("""COMPUTED_VALUE"""),46238.58187905092)</f>
        <v>46238.58188</v>
      </c>
      <c r="H2" s="2">
        <f>IFERROR(__xludf.DUMMYFUNCTION("""COMPUTED_VALUE"""),46238.58191688657)</f>
        <v>46238.58192</v>
      </c>
      <c r="I2" s="2">
        <f>IFERROR(__xludf.DUMMYFUNCTION("""COMPUTED_VALUE"""),46238.58194957176)</f>
        <v>46238.58195</v>
      </c>
      <c r="J2" s="2">
        <f>IFERROR(__xludf.DUMMYFUNCTION("""COMPUTED_VALUE"""),46238.581975023146)</f>
        <v>46238.58198</v>
      </c>
      <c r="K2" s="2">
        <f>IFERROR(__xludf.DUMMYFUNCTION("""COMPUTED_VALUE"""),46238.68564173611)</f>
        <v>46238.68564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tr">
        <f>IFERROR(__xludf.DUMMYFUNCTION("""COMPUTED_VALUE"""),"Mr Akhdan")</f>
        <v>Mr Akhdan</v>
      </c>
      <c r="B3" s="1" t="str">
        <f>IFERROR(__xludf.DUMMYFUNCTION("""COMPUTED_VALUE"""),"T14B")</f>
        <v>T14B</v>
      </c>
      <c r="C3" s="1" t="str">
        <f>IFERROR(__xludf.DUMMYFUNCTION("""COMPUTED_VALUE"""),"Felix Marpaung")</f>
        <v>Felix Marpaung</v>
      </c>
      <c r="D3" s="2">
        <f>IFERROR(__xludf.DUMMYFUNCTION("""COMPUTED_VALUE"""),46238.67333178241)</f>
        <v>46238.67333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IFERROR(__xludf.DUMMYFUNCTION("""COMPUTED_VALUE"""),"Mr Akhdan")</f>
        <v>Mr Akhdan</v>
      </c>
      <c r="B4" s="1" t="str">
        <f>IFERROR(__xludf.DUMMYFUNCTION("""COMPUTED_VALUE"""),"T14B")</f>
        <v>T14B</v>
      </c>
      <c r="C4" s="1" t="str">
        <f>IFERROR(__xludf.DUMMYFUNCTION("""COMPUTED_VALUE"""),"Gabrielle Cheryl Ho")</f>
        <v>Gabrielle Cheryl Ho</v>
      </c>
      <c r="D4" s="2">
        <f>IFERROR(__xludf.DUMMYFUNCTION("""COMPUTED_VALUE"""),46238.673424803244)</f>
        <v>46238.67342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IFERROR(__xludf.DUMMYFUNCTION("""COMPUTED_VALUE"""),"Mr Akhdan")</f>
        <v>Mr Akhdan</v>
      </c>
      <c r="B5" s="1" t="str">
        <f>IFERROR(__xludf.DUMMYFUNCTION("""COMPUTED_VALUE"""),"T14B")</f>
        <v>T14B</v>
      </c>
      <c r="C5" s="1" t="str">
        <f>IFERROR(__xludf.DUMMYFUNCTION("""COMPUTED_VALUE"""),"Taraka Pranatantra Raya")</f>
        <v>Taraka Pranatantra Raya</v>
      </c>
      <c r="D5" s="2">
        <f>IFERROR(__xludf.DUMMYFUNCTION("""COMPUTED_VALUE"""),46238.673472442126)</f>
        <v>46238.67347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tr">
        <f>IFERROR(__xludf.DUMMYFUNCTION("""COMPUTED_VALUE"""),"Mr Akhdan")</f>
        <v>Mr Akhdan</v>
      </c>
      <c r="B6" s="1" t="str">
        <f>IFERROR(__xludf.DUMMYFUNCTION("""COMPUTED_VALUE"""),"K2A")</f>
        <v>K2A</v>
      </c>
      <c r="C6" s="1" t="str">
        <f>IFERROR(__xludf.DUMMYFUNCTION("""COMPUTED_VALUE"""),"Fatimah Roxalana Neesken")</f>
        <v>Fatimah Roxalana Neesken</v>
      </c>
      <c r="D6" s="1" t="str">
        <f>IFERROR(__xludf.DUMMYFUNCTION("""COMPUTED_VALUE"""),"Fatimah")</f>
        <v>Fatimah</v>
      </c>
      <c r="E6" s="2">
        <f>IFERROR(__xludf.DUMMYFUNCTION("""COMPUTED_VALUE"""),46240.33735127315)</f>
        <v>46240.33735</v>
      </c>
      <c r="F6" s="2">
        <f>IFERROR(__xludf.DUMMYFUNCTION("""COMPUTED_VALUE"""),46240.479119131945)</f>
        <v>46240.47912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tr">
        <f>IFERROR(__xludf.DUMMYFUNCTION("""COMPUTED_VALUE"""),"Mr Akhdan")</f>
        <v>Mr Akhdan</v>
      </c>
      <c r="B7" s="1" t="str">
        <f>IFERROR(__xludf.DUMMYFUNCTION("""COMPUTED_VALUE"""),"K2A")</f>
        <v>K2A</v>
      </c>
      <c r="C7" s="1" t="str">
        <f>IFERROR(__xludf.DUMMYFUNCTION("""COMPUTED_VALUE"""),"Muhammad Fadly Surya")</f>
        <v>Muhammad Fadly Surya</v>
      </c>
      <c r="D7" s="1" t="str">
        <f>IFERROR(__xludf.DUMMYFUNCTION("""COMPUTED_VALUE"""),"Fadly")</f>
        <v>Fadly</v>
      </c>
      <c r="E7" s="2">
        <f>IFERROR(__xludf.DUMMYFUNCTION("""COMPUTED_VALUE"""),46240.34013251157)</f>
        <v>46240.34013</v>
      </c>
      <c r="F7" s="2">
        <f>IFERROR(__xludf.DUMMYFUNCTION("""COMPUTED_VALUE"""),46240.4791903588)</f>
        <v>46240.47919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tr">
        <f>IFERROR(__xludf.DUMMYFUNCTION("""COMPUTED_VALUE"""),"Yan")</f>
        <v>Yan</v>
      </c>
      <c r="B8" s="1" t="str">
        <f>IFERROR(__xludf.DUMMYFUNCTION("""COMPUTED_VALUE"""),"T19A")</f>
        <v>T19A</v>
      </c>
      <c r="C8" s="1" t="str">
        <f>IFERROR(__xludf.DUMMYFUNCTION("""COMPUTED_VALUE"""),"Yan")</f>
        <v>Yan</v>
      </c>
      <c r="D8" s="1" t="str">
        <f>IFERROR(__xludf.DUMMYFUNCTION("""COMPUTED_VALUE"""),"Yan")</f>
        <v>Yan</v>
      </c>
      <c r="E8" s="2">
        <f>IFERROR(__xludf.DUMMYFUNCTION("""COMPUTED_VALUE"""),46240.556880937496)</f>
        <v>46240.55688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tr">
        <f>IFERROR(__xludf.DUMMYFUNCTION("""COMPUTED_VALUE"""),"Mr Akhdan")</f>
        <v>Mr Akhdan</v>
      </c>
      <c r="B9" s="1" t="str">
        <f>IFERROR(__xludf.DUMMYFUNCTION("""COMPUTED_VALUE"""),"T24A")</f>
        <v>T24A</v>
      </c>
      <c r="C9" s="1" t="str">
        <f>IFERROR(__xludf.DUMMYFUNCTION("""COMPUTED_VALUE"""),"Arnantha Kastano Aslim")</f>
        <v>Arnantha Kastano Aslim</v>
      </c>
      <c r="D9" s="1" t="str">
        <f>IFERROR(__xludf.DUMMYFUNCTION("""COMPUTED_VALUE"""),"Arnantha")</f>
        <v>Arnantha</v>
      </c>
      <c r="E9" s="2">
        <f>IFERROR(__xludf.DUMMYFUNCTION("""COMPUTED_VALUE"""),46240.70545381945)</f>
        <v>46240.70545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tr">
        <f>IFERROR(__xludf.DUMMYFUNCTION("""COMPUTED_VALUE"""),"Mr Akhdan")</f>
        <v>Mr Akhdan</v>
      </c>
      <c r="B10" s="1" t="str">
        <f>IFERROR(__xludf.DUMMYFUNCTION("""COMPUTED_VALUE"""),"K19A")</f>
        <v>K19A</v>
      </c>
      <c r="C10" s="1" t="str">
        <f>IFERROR(__xludf.DUMMYFUNCTION("""COMPUTED_VALUE"""),"Muhammad Azzam Putera Dendry")</f>
        <v>Muhammad Azzam Putera Dendry</v>
      </c>
      <c r="D10" s="1" t="str">
        <f>IFERROR(__xludf.DUMMYFUNCTION("""COMPUTED_VALUE"""),"Azzam")</f>
        <v>Azzam</v>
      </c>
      <c r="E10" s="2">
        <f>IFERROR(__xludf.DUMMYFUNCTION("""COMPUTED_VALUE"""),46241.78925163194)</f>
        <v>46241.78925</v>
      </c>
      <c r="F10" s="2">
        <f>IFERROR(__xludf.DUMMYFUNCTION("""COMPUTED_VALUE"""),46244.689104317134)</f>
        <v>46244.6891</v>
      </c>
      <c r="G10" s="2">
        <f>IFERROR(__xludf.DUMMYFUNCTION("""COMPUTED_VALUE"""),46244.68922542824)</f>
        <v>46244.68923</v>
      </c>
      <c r="H10" s="2">
        <f>IFERROR(__xludf.DUMMYFUNCTION("""COMPUTED_VALUE"""),46244.69076013889)</f>
        <v>46244.69076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tr">
        <f>IFERROR(__xludf.DUMMYFUNCTION("""COMPUTED_VALUE"""),"Mr Akhdan")</f>
        <v>Mr Akhdan</v>
      </c>
      <c r="B11" s="1" t="str">
        <f>IFERROR(__xludf.DUMMYFUNCTION("""COMPUTED_VALUE"""),"K19A")</f>
        <v>K19A</v>
      </c>
      <c r="C11" s="1" t="str">
        <f>IFERROR(__xludf.DUMMYFUNCTION("""COMPUTED_VALUE"""),"Muhammad Fathan Al Latif")</f>
        <v>Muhammad Fathan Al Latif</v>
      </c>
      <c r="D11" s="1" t="str">
        <f>IFERROR(__xludf.DUMMYFUNCTION("""COMPUTED_VALUE"""),"Fathan")</f>
        <v>Fathan</v>
      </c>
      <c r="E11" s="2">
        <f>IFERROR(__xludf.DUMMYFUNCTION("""COMPUTED_VALUE"""),46241.78959197916)</f>
        <v>46241.78959</v>
      </c>
      <c r="F11" s="2">
        <f>IFERROR(__xludf.DUMMYFUNCTION("""COMPUTED_VALUE"""),46244.68746872685)</f>
        <v>46244.68747</v>
      </c>
      <c r="G11" s="2">
        <f>IFERROR(__xludf.DUMMYFUNCTION("""COMPUTED_VALUE"""),46244.69121275463)</f>
        <v>46244.69121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tr">
        <f>IFERROR(__xludf.DUMMYFUNCTION("""COMPUTED_VALUE"""),"Harven Sannjaya")</f>
        <v>Harven Sannjaya</v>
      </c>
      <c r="B12" s="1" t="str">
        <f>IFERROR(__xludf.DUMMYFUNCTION("""COMPUTED_VALUE"""),"K4A")</f>
        <v>K4A</v>
      </c>
      <c r="C12" s="1" t="str">
        <f>IFERROR(__xludf.DUMMYFUNCTION("""COMPUTED_VALUE"""),"Haikal Fikri")</f>
        <v>Haikal Fikri</v>
      </c>
      <c r="D12" s="1" t="str">
        <f>IFERROR(__xludf.DUMMYFUNCTION("""COMPUTED_VALUE"""),"Haikal")</f>
        <v>Haikal</v>
      </c>
      <c r="E12" s="2">
        <f>IFERROR(__xludf.DUMMYFUNCTION("""COMPUTED_VALUE"""),46242.790716469906)</f>
        <v>46242.79072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tr">
        <f>IFERROR(__xludf.DUMMYFUNCTION("""COMPUTED_VALUE"""),"Harven Sannjaya")</f>
        <v>Harven Sannjaya</v>
      </c>
      <c r="B13" s="1" t="str">
        <f>IFERROR(__xludf.DUMMYFUNCTION("""COMPUTED_VALUE"""),"K4A")</f>
        <v>K4A</v>
      </c>
      <c r="C13" s="1" t="str">
        <f>IFERROR(__xludf.DUMMYFUNCTION("""COMPUTED_VALUE"""),"Gavrila Nathaniela")</f>
        <v>Gavrila Nathaniela</v>
      </c>
      <c r="D13" s="1" t="str">
        <f>IFERROR(__xludf.DUMMYFUNCTION("""COMPUTED_VALUE"""),"Gavrila")</f>
        <v>Gavrila</v>
      </c>
      <c r="E13" s="2">
        <f>IFERROR(__xludf.DUMMYFUNCTION("""COMPUTED_VALUE"""),46242.790826979166)</f>
        <v>46242.79083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tr">
        <f>IFERROR(__xludf.DUMMYFUNCTION("""COMPUTED_VALUE"""),"Mr Akhdan")</f>
        <v>Mr Akhdan</v>
      </c>
      <c r="B14" s="1" t="str">
        <f>IFERROR(__xludf.DUMMYFUNCTION("""COMPUTED_VALUE"""),"K3A")</f>
        <v>K3A</v>
      </c>
      <c r="C14" s="1" t="str">
        <f>IFERROR(__xludf.DUMMYFUNCTION("""COMPUTED_VALUE"""),"Jevan Lemuel Dihalason Lumban Tobing")</f>
        <v>Jevan Lemuel Dihalason Lumban Tobing</v>
      </c>
      <c r="D14" s="1" t="str">
        <f>IFERROR(__xludf.DUMMYFUNCTION("""COMPUTED_VALUE"""),"Jevan")</f>
        <v>Jevan</v>
      </c>
      <c r="E14" s="2">
        <f>IFERROR(__xludf.DUMMYFUNCTION("""COMPUTED_VALUE"""),46244.7163005787)</f>
        <v>46244.7163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tr">
        <f>IFERROR(__xludf.DUMMYFUNCTION("""COMPUTED_VALUE"""),"Mr Akhdan")</f>
        <v>Mr Akhdan</v>
      </c>
      <c r="B15" s="1" t="str">
        <f>IFERROR(__xludf.DUMMYFUNCTION("""COMPUTED_VALUE"""),"K22A")</f>
        <v>K22A</v>
      </c>
      <c r="C15" s="1" t="str">
        <f>IFERROR(__xludf.DUMMYFUNCTION("""COMPUTED_VALUE"""),"Muhammad Althaf Herjuno Widyaputra")</f>
        <v>Muhammad Althaf Herjuno Widyaputra</v>
      </c>
      <c r="D15" s="1" t="str">
        <f>IFERROR(__xludf.DUMMYFUNCTION("""COMPUTED_VALUE"""),"Juno")</f>
        <v>Juno</v>
      </c>
      <c r="E15" s="2">
        <f>IFERROR(__xludf.DUMMYFUNCTION("""COMPUTED_VALUE"""),46244.71789260417)</f>
        <v>46244.71789</v>
      </c>
      <c r="F15" s="2">
        <f>IFERROR(__xludf.DUMMYFUNCTION("""COMPUTED_VALUE"""),46244.720639363426)</f>
        <v>46244.72064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tr">
        <f>IFERROR(__xludf.DUMMYFUNCTION("""COMPUTED_VALUE"""),"Mr Akhdan")</f>
        <v>Mr Akhdan</v>
      </c>
      <c r="B16" s="1" t="str">
        <f>IFERROR(__xludf.DUMMYFUNCTION("""COMPUTED_VALUE"""),"K22A")</f>
        <v>K22A</v>
      </c>
      <c r="C16" s="1" t="str">
        <f>IFERROR(__xludf.DUMMYFUNCTION("""COMPUTED_VALUE"""),"Axelle Syden Suharnoto")</f>
        <v>Axelle Syden Suharnoto</v>
      </c>
      <c r="D16" s="1" t="str">
        <f>IFERROR(__xludf.DUMMYFUNCTION("""COMPUTED_VALUE"""),"Axelle")</f>
        <v>Axelle</v>
      </c>
      <c r="E16" s="2">
        <f>IFERROR(__xludf.DUMMYFUNCTION("""COMPUTED_VALUE"""),46244.71889953704)</f>
        <v>46244.7189</v>
      </c>
      <c r="F16" s="2">
        <f>IFERROR(__xludf.DUMMYFUNCTION("""COMPUTED_VALUE"""),46244.72096666667)</f>
        <v>46244.72097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